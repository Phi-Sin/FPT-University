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B5FA613F-5972-483F-8CA8-5572C1DD159E}" xr6:coauthVersionLast="47" xr6:coauthVersionMax="47" xr10:uidLastSave="{00000000-0000-0000-0000-000000000000}"/>
  <bookViews>
    <workbookView xWindow="-120" yWindow="-120" windowWidth="24240" windowHeight="13140" xr2:uid="{E3DD0FE3-772F-4458-AD65-D5BC4A22EF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  <c r="F8" i="1" l="1"/>
  <c r="F3" i="1"/>
  <c r="F4" i="1"/>
  <c r="F5" i="1"/>
  <c r="F6" i="1"/>
  <c r="F7" i="1"/>
  <c r="F2" i="1"/>
  <c r="C8" i="1"/>
  <c r="B8" i="1"/>
  <c r="E6" i="1" s="1"/>
  <c r="H4" i="1"/>
  <c r="H3" i="1"/>
  <c r="C3" i="1" s="1"/>
  <c r="D3" i="1" s="1"/>
  <c r="H2" i="1"/>
  <c r="C7" i="1" s="1"/>
  <c r="D7" i="1" s="1"/>
  <c r="E5" i="1" l="1"/>
  <c r="E2" i="1"/>
  <c r="E4" i="1"/>
  <c r="E7" i="1"/>
  <c r="E3" i="1"/>
  <c r="C2" i="1"/>
  <c r="D2" i="1" s="1"/>
  <c r="C5" i="1"/>
  <c r="D5" i="1" s="1"/>
  <c r="C4" i="1"/>
  <c r="D4" i="1" s="1"/>
  <c r="C6" i="1"/>
  <c r="D6" i="1" s="1"/>
  <c r="D8" i="1" l="1"/>
  <c r="E8" i="1"/>
</calcChain>
</file>

<file path=xl/sharedStrings.xml><?xml version="1.0" encoding="utf-8"?>
<sst xmlns="http://schemas.openxmlformats.org/spreadsheetml/2006/main" count="42" uniqueCount="40">
  <si>
    <t>SLOPE(</t>
  </si>
  <si>
    <t>INTERCEPT(</t>
  </si>
  <si>
    <t>CORRELATION</t>
  </si>
  <si>
    <t>Y=2X+3</t>
  </si>
  <si>
    <t>+1</t>
  </si>
  <si>
    <t>Y=-2X+3</t>
  </si>
  <si>
    <t>-1</t>
  </si>
  <si>
    <t>Positive</t>
  </si>
  <si>
    <t>Negative</t>
  </si>
  <si>
    <t xml:space="preserve">Diện tích </t>
  </si>
  <si>
    <t>Giá thuê</t>
  </si>
  <si>
    <t>Predicted value</t>
  </si>
  <si>
    <t>Error^2</t>
  </si>
  <si>
    <t>Mean</t>
  </si>
  <si>
    <t>(Y-Y_bar)^2</t>
  </si>
  <si>
    <t>(Y_hat-Y_bar)^2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</si>
  <si>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</si>
  <si>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</si>
  <si>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</si>
  <si>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</si>
  <si>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</si>
  <si>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</si>
  <si>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</si>
  <si>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</si>
  <si>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</si>
  <si>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</si>
  <si>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</si>
  <si>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</si>
  <si>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</si>
  <si>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</si>
  <si>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</si>
  <si>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</si>
  <si>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</si>
  <si>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</si>
  <si>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</si>
  <si>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</si>
  <si>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</si>
  <si>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</si>
  <si>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X Variable 1</t>
  </si>
  <si>
    <t>SSR/SST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</si>
</sst>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4" x14ac:knownFonts="1">
    <font>
      <sz val="14"/>
      <color theme="1"/>
      <name val="Times New Roman"/>
      <family val="2"/>
      <charset val="163"/>
    </font>
    <font>
      <sz val="14"/>
      <color rgb="FFFF0000"/>
      <name val="Times New Roman"/>
      <family val="2"/>
      <charset val="163"/>
    </font>
    <font>
      <sz val="20"/>
      <color theme="1"/>
      <name val="Times New Roman"/>
      <family val="2"/>
      <charset val="163"/>
    </font>
    <font>
      <i/>
      <sz val="14"/>
      <color theme="1"/>
      <name val="Times New Roman"/>
      <family val="2"/>
      <charset val="16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2" fontId="0" fillId="0" borderId="0" xfId="0" applyNumberFormat="1"/>
    <xf numFmtId="166" fontId="0" fillId="0" borderId="0" xfId="0" applyNumberFormat="1"/>
    <xf numFmtId="0" fontId="2" fillId="0" borderId="0" xfId="0" applyFont="1" applyFill="1" applyAlignment="1">
      <alignment horizontal="center"/>
    </xf>
    <xf numFmtId="166" fontId="0" fillId="0" borderId="0" xfId="0" applyNumberFormat="1" applyFill="1"/>
    <xf numFmtId="0" fontId="0" fillId="2" borderId="0" xfId="0" applyFill="1"/>
    <xf numFmtId="0" fontId="1" fillId="2" borderId="0" xfId="0" applyFont="1" applyFill="1"/>
    <xf numFmtId="0" fontId="0" fillId="0" borderId="0" xfId="0" quotePrefix="1"/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Continuous"/>
    </xf>
    <xf numFmtId="0" fontId="0" fillId="3" borderId="0" xfId="0" applyFill="1" applyBorder="1" applyAlignment="1"/>
    <xf numFmtId="0" fontId="0" fillId="3" borderId="2" xfId="0" applyFill="1" applyBorder="1" applyAlignment="1"/>
    <xf numFmtId="0" fontId="3" fillId="2" borderId="3" xfId="0" applyFont="1" applyFill="1" applyBorder="1" applyAlignment="1">
      <alignment horizontal="center"/>
    </xf>
    <xf numFmtId="0" fontId="0" fillId="2" borderId="0" xfId="0" applyFill="1" applyBorder="1" applyAlignment="1"/>
    <xf numFmtId="0" fontId="0" fillId="2" borderId="2" xfId="0" applyFill="1" applyBorder="1" applyAlignment="1"/>
    <xf numFmtId="0" fontId="3" fillId="4" borderId="3" xfId="0" applyFont="1" applyFill="1" applyBorder="1" applyAlignment="1">
      <alignment horizontal="center"/>
    </xf>
    <xf numFmtId="0" fontId="0" fillId="4" borderId="0" xfId="0" applyFill="1" applyBorder="1" applyAlignment="1"/>
    <xf numFmtId="0" fontId="0" fillId="4" borderId="2" xfId="0" applyFill="1" applyBorder="1" applyAlignment="1"/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Sheet1!$A$2:$A$7</c:f>
              <c:numCache>
                <c:formatCode>General</c:formatCode>
                <c:ptCount val="6"/>
                <c:pt idx="0">
                  <c:v>60</c:v>
                </c:pt>
                <c:pt idx="1">
                  <c:v>30</c:v>
                </c:pt>
                <c:pt idx="2">
                  <c:v>30</c:v>
                </c:pt>
                <c:pt idx="3">
                  <c:v>25</c:v>
                </c:pt>
                <c:pt idx="4">
                  <c:v>50</c:v>
                </c:pt>
                <c:pt idx="5">
                  <c:v>55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6.5</c:v>
                </c:pt>
                <c:pt idx="1">
                  <c:v>3</c:v>
                </c:pt>
                <c:pt idx="2">
                  <c:v>4.5</c:v>
                </c:pt>
                <c:pt idx="3">
                  <c:v>2</c:v>
                </c:pt>
                <c:pt idx="4">
                  <c:v>7</c:v>
                </c:pt>
                <c:pt idx="5">
                  <c:v>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C6-4374-A9A7-0A7AEB7D1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917104"/>
        <c:axId val="472911344"/>
      </c:scatterChart>
      <c:valAx>
        <c:axId val="47291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72911344"/>
        <c:crosses val="autoZero"/>
        <c:crossBetween val="midCat"/>
      </c:valAx>
      <c:valAx>
        <c:axId val="4729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72917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204107</xdr:colOff>
      <xdr:row>0</xdr:row>
      <xdr:rowOff>155801</xdr:rowOff>
    </xdr:from>
    <xdr:to>
      <xdr:col>15</xdr:col>
      <xdr:colOff>204107</xdr:colOff>
      <xdr:row>8</xdr:row>
      <xdr:rowOff>327251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E2B409-658C-F1C7-A47E-C1052A6EFB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FEE9-D47C-48F1-BAC3-729D04FC906D}">
  <dimension ref="A1:I29"/>
  <sheetViews>
    <sheetView tabSelected="1" topLeftCell="A15" zoomScale="140" zoomScaleNormal="140" workbookViewId="0">
      <selection activeCell="C15" sqref="C15"/>
    </sheetView>
  </sheetViews>
  <sheetFormatPr defaultRowHeight="18.75" x14ac:dyDescent="0.3"/>
  <cols>
    <col min="1" max="1" width="13.109375" bestFit="1" customWidth="1"/>
    <col min="2" max="2" width="11.5546875" bestFit="1" customWidth="1"/>
    <col min="3" max="3" width="20.109375" bestFit="1" customWidth="1"/>
    <col min="4" max="4" width="11.5546875" customWidth="1"/>
    <col min="5" max="5" width="16.88671875" bestFit="1" customWidth="1"/>
    <col min="6" max="6" width="22.44140625" bestFit="1" customWidth="1"/>
    <col min="7" max="7" width="15.88671875" bestFit="1" customWidth="1"/>
    <col min="8" max="8" width="12.5546875" customWidth="1"/>
  </cols>
  <sheetData>
    <row r="1" spans="1:9" ht="26.25" x14ac:dyDescent="0.4">
      <c r="A1" s="8" t="s">
        <v>9</v>
      </c>
      <c r="B1" s="8" t="s">
        <v>10</v>
      </c>
      <c r="C1" s="9" t="s">
        <v>11</v>
      </c>
      <c r="D1" s="9" t="s">
        <v>12</v>
      </c>
      <c r="E1" s="9" t="s">
        <v>14</v>
      </c>
      <c r="F1" s="9" t="s">
        <v>15</v>
      </c>
    </row>
    <row r="2" spans="1:9" ht="26.25" x14ac:dyDescent="0.4">
      <c r="A2" s="8">
        <v>60</v>
      </c>
      <c r="B2" s="8">
        <v>6.5</v>
      </c>
      <c r="C2" s="10">
        <f>A2*$H$2+$H$3</f>
        <v>7.158823529411765</v>
      </c>
      <c r="D2" s="10">
        <f>(C2-B2)^2</f>
        <v>0.43404844290657479</v>
      </c>
      <c r="E2" s="10">
        <f>(B2-$B$8)^2</f>
        <v>2.6136111111111098</v>
      </c>
      <c r="F2" s="10">
        <f>(C2-$C$8)^2</f>
        <v>5.1778556324490577</v>
      </c>
      <c r="G2" t="s">
        <v>0</v>
      </c>
      <c r="H2" s="2">
        <f>SLOPE(B2:B7,A2:A7)</f>
        <v>0.1241176470588235</v>
      </c>
    </row>
    <row r="3" spans="1:9" ht="26.25" x14ac:dyDescent="0.4">
      <c r="A3" s="8">
        <v>30</v>
      </c>
      <c r="B3" s="8">
        <v>3</v>
      </c>
      <c r="C3" s="10">
        <f t="shared" ref="C3:C6" si="0">A3*$H$2+$H$3</f>
        <v>3.4352941176470599</v>
      </c>
      <c r="D3" s="10">
        <f t="shared" ref="D3:D7" si="1">(C3-B3)^2</f>
        <v>0.18948096885813245</v>
      </c>
      <c r="E3" s="10">
        <f t="shared" ref="E3:E7" si="2">(B3-$B$8)^2</f>
        <v>3.546944444444446</v>
      </c>
      <c r="F3" s="10">
        <f t="shared" ref="F3:F7" si="3">(C3-$C$8)^2</f>
        <v>2.0968175701653191</v>
      </c>
      <c r="G3" t="s">
        <v>1</v>
      </c>
      <c r="H3" s="2">
        <f>INTERCEPT(B2:B7,A2:A7)</f>
        <v>-0.28823529411764515</v>
      </c>
    </row>
    <row r="4" spans="1:9" ht="26.25" x14ac:dyDescent="0.4">
      <c r="A4" s="8">
        <v>30</v>
      </c>
      <c r="B4" s="8">
        <v>4.5</v>
      </c>
      <c r="C4" s="10">
        <f t="shared" si="0"/>
        <v>3.4352941176470599</v>
      </c>
      <c r="D4" s="10">
        <f t="shared" si="1"/>
        <v>1.1335986159169527</v>
      </c>
      <c r="E4" s="10">
        <f t="shared" si="2"/>
        <v>0.14694444444444477</v>
      </c>
      <c r="F4" s="10">
        <f t="shared" si="3"/>
        <v>2.0968175701653191</v>
      </c>
      <c r="G4" t="s">
        <v>2</v>
      </c>
      <c r="H4" s="6">
        <f>CORREL(B2:B7,A2:A7)</f>
        <v>0.90946374970225152</v>
      </c>
    </row>
    <row r="5" spans="1:9" ht="26.25" x14ac:dyDescent="0.4">
      <c r="A5" s="8">
        <v>25</v>
      </c>
      <c r="B5" s="8">
        <v>2</v>
      </c>
      <c r="C5" s="10">
        <f t="shared" si="0"/>
        <v>2.8147058823529423</v>
      </c>
      <c r="D5" s="10">
        <f t="shared" si="1"/>
        <v>0.66374567474048618</v>
      </c>
      <c r="E5" s="10">
        <f t="shared" si="2"/>
        <v>8.3136111111111131</v>
      </c>
      <c r="F5" s="10">
        <f t="shared" si="3"/>
        <v>4.2792195309496321</v>
      </c>
    </row>
    <row r="6" spans="1:9" ht="26.25" x14ac:dyDescent="0.4">
      <c r="A6" s="8">
        <v>50</v>
      </c>
      <c r="B6" s="8">
        <v>7</v>
      </c>
      <c r="C6" s="10">
        <f t="shared" si="0"/>
        <v>5.9176470588235297</v>
      </c>
      <c r="D6" s="10">
        <f t="shared" si="1"/>
        <v>1.1714878892733558</v>
      </c>
      <c r="E6" s="10">
        <f t="shared" si="2"/>
        <v>4.4802777777777756</v>
      </c>
      <c r="F6" s="10">
        <f t="shared" si="3"/>
        <v>1.0698048827374085</v>
      </c>
    </row>
    <row r="7" spans="1:9" ht="26.25" x14ac:dyDescent="0.4">
      <c r="A7" s="8">
        <v>55</v>
      </c>
      <c r="B7" s="8">
        <v>6.3</v>
      </c>
      <c r="C7" s="10">
        <f>A7*$H$2+$H$3</f>
        <v>6.5382352941176469</v>
      </c>
      <c r="D7" s="10">
        <f t="shared" si="1"/>
        <v>5.6756055363321817E-2</v>
      </c>
      <c r="E7" s="10">
        <f t="shared" si="2"/>
        <v>2.0069444444444429</v>
      </c>
      <c r="F7" s="10">
        <f t="shared" si="3"/>
        <v>2.7387004998077646</v>
      </c>
    </row>
    <row r="8" spans="1:9" x14ac:dyDescent="0.3">
      <c r="A8" t="s">
        <v>13</v>
      </c>
      <c r="B8" s="1">
        <f>AVERAGE(B2:B7)</f>
        <v>4.8833333333333337</v>
      </c>
      <c r="C8" s="1">
        <f>AVERAGE(C2:C7)</f>
        <v>4.8833333333333337</v>
      </c>
      <c r="D8" s="1">
        <f>SUM(D2:D7)</f>
        <v>3.6491176470588238</v>
      </c>
      <c r="E8" s="1">
        <f>SUM(E2:E7)</f>
        <v>21.108333333333334</v>
      </c>
      <c r="F8" s="1">
        <f>SUM(F2:F7)</f>
        <v>17.459215686274501</v>
      </c>
    </row>
    <row r="9" spans="1:9" ht="26.25" x14ac:dyDescent="0.4">
      <c r="A9" s="3"/>
      <c r="B9" s="4" t="s">
        <v>3</v>
      </c>
      <c r="C9" s="4"/>
      <c r="D9" s="4"/>
      <c r="E9" s="4"/>
      <c r="F9" s="4"/>
      <c r="G9" t="s">
        <v>2</v>
      </c>
      <c r="H9" s="7" t="s">
        <v>4</v>
      </c>
      <c r="I9" t="s">
        <v>7</v>
      </c>
    </row>
    <row r="10" spans="1:9" x14ac:dyDescent="0.3">
      <c r="B10" t="s">
        <v>5</v>
      </c>
      <c r="H10" s="7" t="s">
        <v>6</v>
      </c>
      <c r="I10" t="s">
        <v>8</v>
      </c>
    </row>
    <row r="12" spans="1:9" x14ac:dyDescent="0.3">
      <c r="A12" t="s">
        <v>16</v>
      </c>
    </row>
    <row r="13" spans="1:9" ht="19.5" thickBot="1" x14ac:dyDescent="0.35"/>
    <row r="14" spans="1:9" x14ac:dyDescent="0.3">
      <c r="A14" s="14" t="s">
        <v>17</v>
      </c>
      <c r="B14" s="14"/>
    </row>
    <row r="15" spans="1:9" x14ac:dyDescent="0.3">
      <c r="A15" s="15" t="s">
        <v>18</v>
      </c>
      <c r="B15" s="15">
        <v>0.90946374970225163</v>
      </c>
    </row>
    <row r="16" spans="1:9" x14ac:dyDescent="0.3">
      <c r="A16" s="15" t="s">
        <v>19</v>
      </c>
      <c r="B16" s="15">
        <v>0.82712431202247982</v>
      </c>
    </row>
    <row r="17" spans="1:9" x14ac:dyDescent="0.3">
      <c r="A17" s="15" t="s">
        <v>20</v>
      </c>
      <c r="B17" s="15">
        <v>0.78390539002809989</v>
      </c>
    </row>
    <row r="18" spans="1:9" x14ac:dyDescent="0.3">
      <c r="A18" s="15" t="s">
        <v>21</v>
      </c>
      <c r="B18" s="15">
        <v>0.95513319058899115</v>
      </c>
      <c r="C18" s="23" t="s">
        <v>39</v>
      </c>
      <c r="D18" s="5">
        <f>C23/C25</f>
        <v>0.82712431202247982</v>
      </c>
    </row>
    <row r="19" spans="1:9" ht="19.5" thickBot="1" x14ac:dyDescent="0.35">
      <c r="A19" s="16" t="s">
        <v>22</v>
      </c>
      <c r="B19" s="16">
        <v>6</v>
      </c>
    </row>
    <row r="21" spans="1:9" ht="19.5" thickBot="1" x14ac:dyDescent="0.35">
      <c r="A21" s="5" t="s">
        <v>23</v>
      </c>
      <c r="B21" s="5"/>
      <c r="C21" s="5"/>
      <c r="D21" s="5"/>
      <c r="E21" s="5"/>
      <c r="F21" s="5"/>
    </row>
    <row r="22" spans="1:9" x14ac:dyDescent="0.3">
      <c r="A22" s="17"/>
      <c r="B22" s="17" t="s">
        <v>28</v>
      </c>
      <c r="C22" s="17" t="s">
        <v>29</v>
      </c>
      <c r="D22" s="17" t="s">
        <v>30</v>
      </c>
      <c r="E22" s="17" t="s">
        <v>31</v>
      </c>
      <c r="F22" s="17" t="s">
        <v>32</v>
      </c>
    </row>
    <row r="23" spans="1:9" x14ac:dyDescent="0.3">
      <c r="A23" s="18" t="s">
        <v>24</v>
      </c>
      <c r="B23" s="18">
        <v>1</v>
      </c>
      <c r="C23" s="18">
        <v>17.459215686274511</v>
      </c>
      <c r="D23" s="18">
        <v>17.459215686274511</v>
      </c>
      <c r="E23" s="18">
        <v>19.138013487010017</v>
      </c>
      <c r="F23" s="18">
        <v>1.1924164587552398E-2</v>
      </c>
    </row>
    <row r="24" spans="1:9" x14ac:dyDescent="0.3">
      <c r="A24" s="18" t="s">
        <v>25</v>
      </c>
      <c r="B24" s="18">
        <v>4</v>
      </c>
      <c r="C24" s="18">
        <v>3.6491176470588247</v>
      </c>
      <c r="D24" s="18">
        <v>0.91227941176470617</v>
      </c>
      <c r="E24" s="18"/>
      <c r="F24" s="18"/>
    </row>
    <row r="25" spans="1:9" ht="19.5" thickBot="1" x14ac:dyDescent="0.35">
      <c r="A25" s="19" t="s">
        <v>26</v>
      </c>
      <c r="B25" s="19">
        <v>5</v>
      </c>
      <c r="C25" s="19">
        <v>21.108333333333334</v>
      </c>
      <c r="D25" s="19"/>
      <c r="E25" s="19"/>
      <c r="F25" s="19"/>
    </row>
    <row r="26" spans="1:9" ht="19.5" thickBot="1" x14ac:dyDescent="0.35"/>
    <row r="27" spans="1:9" x14ac:dyDescent="0.3">
      <c r="A27" s="20"/>
      <c r="B27" s="20" t="s">
        <v>33</v>
      </c>
      <c r="C27" s="20" t="s">
        <v>21</v>
      </c>
      <c r="D27" s="20" t="s">
        <v>34</v>
      </c>
      <c r="E27" s="20" t="s">
        <v>35</v>
      </c>
      <c r="F27" s="20" t="s">
        <v>36</v>
      </c>
      <c r="G27" s="20" t="s">
        <v>37</v>
      </c>
      <c r="H27" s="13"/>
      <c r="I27" s="13"/>
    </row>
    <row r="28" spans="1:9" x14ac:dyDescent="0.3">
      <c r="A28" s="21" t="s">
        <v>27</v>
      </c>
      <c r="B28" s="21">
        <v>-0.28823529411764603</v>
      </c>
      <c r="C28" s="21">
        <v>1.2448025596976244</v>
      </c>
      <c r="D28" s="21">
        <v>-0.2315510133491864</v>
      </c>
      <c r="E28" s="21">
        <v>0.82824963924179273</v>
      </c>
      <c r="F28" s="21">
        <v>-3.7443612679277996</v>
      </c>
      <c r="G28" s="21">
        <v>3.1678906796925075</v>
      </c>
      <c r="H28" s="11"/>
      <c r="I28" s="11"/>
    </row>
    <row r="29" spans="1:9" ht="19.5" thickBot="1" x14ac:dyDescent="0.35">
      <c r="A29" s="22" t="s">
        <v>38</v>
      </c>
      <c r="B29" s="22">
        <v>0.12411764705882353</v>
      </c>
      <c r="C29" s="22">
        <v>2.8371683456314831E-2</v>
      </c>
      <c r="D29" s="22">
        <v>4.3747015311915876</v>
      </c>
      <c r="E29" s="22">
        <v>1.1924164587552391E-2</v>
      </c>
      <c r="F29" s="22">
        <v>4.5345225400317005E-2</v>
      </c>
      <c r="G29" s="22">
        <v>0.20289006871733006</v>
      </c>
      <c r="H29" s="12"/>
      <c r="I29" s="1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2023-03-15T08:34:18Z</dcterms:created>
  <dcterms:modified xsi:type="dcterms:W3CDTF">2023-03-15T10:12:43Z</dcterms:modified>
</cp:coreProperties>
</file>